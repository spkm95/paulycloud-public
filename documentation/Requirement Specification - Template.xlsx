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dcoredk-my.sharepoint.com/personal/spkm_mindcore_dk/Documents/Documents/Blogs &amp; Posts/Requirement specification/"/>
    </mc:Choice>
  </mc:AlternateContent>
  <xr:revisionPtr revIDLastSave="113" documentId="8_{FA4B4559-9E76-4FA8-B222-4718EB5A0587}" xr6:coauthVersionLast="47" xr6:coauthVersionMax="47" xr10:uidLastSave="{44143988-3DAC-4CBF-AA76-040603910167}"/>
  <bookViews>
    <workbookView xWindow="-110" yWindow="-110" windowWidth="25820" windowHeight="15500" activeTab="2" xr2:uid="{2C849696-6F03-4ACF-9980-C51949A6CBEA}"/>
  </bookViews>
  <sheets>
    <sheet name="Introduction" sheetId="2" r:id="rId1"/>
    <sheet name="RS" sheetId="1" r:id="rId2"/>
    <sheet name="DS" sheetId="3" r:id="rId3"/>
    <sheet name="C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2" i="3" l="1" a="1"/>
  <c r="F2" i="1" a="1"/>
  <c r="E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<sst xmlns="http://schemas.openxmlformats.org/spreadsheetml/2006/main" count="56" uniqueCount="43">
  <si>
    <t>RS ID</t>
  </si>
  <si>
    <t>Requirement description</t>
  </si>
  <si>
    <t>Related DS</t>
  </si>
  <si>
    <t>Platform</t>
  </si>
  <si>
    <t>Comments</t>
  </si>
  <si>
    <t>Link</t>
  </si>
  <si>
    <t>Status</t>
  </si>
  <si>
    <t>Source</t>
  </si>
  <si>
    <t>DS</t>
  </si>
  <si>
    <t>DS ID</t>
  </si>
  <si>
    <t>Design specification</t>
  </si>
  <si>
    <t>Requirement specification</t>
  </si>
  <si>
    <t>CI</t>
  </si>
  <si>
    <t>RS</t>
  </si>
  <si>
    <t>CI ID</t>
  </si>
  <si>
    <t>CI Navn</t>
  </si>
  <si>
    <t>Purpose:</t>
  </si>
  <si>
    <t>Location</t>
  </si>
  <si>
    <t>N/A</t>
  </si>
  <si>
    <t>Related RS</t>
  </si>
  <si>
    <t>Related CI</t>
  </si>
  <si>
    <t>ds-example-01</t>
  </si>
  <si>
    <t>Example</t>
  </si>
  <si>
    <t>rs-example-01</t>
  </si>
  <si>
    <t>ci-example-01</t>
  </si>
  <si>
    <t>ci-example-02</t>
  </si>
  <si>
    <t>ci-example-03</t>
  </si>
  <si>
    <t>ci-example-04</t>
  </si>
  <si>
    <t>ci-example-05</t>
  </si>
  <si>
    <t>Example 1</t>
  </si>
  <si>
    <t>Example 2</t>
  </si>
  <si>
    <t>Example 3</t>
  </si>
  <si>
    <t>Example 4</t>
  </si>
  <si>
    <t>Example 5</t>
  </si>
  <si>
    <t>Comment</t>
  </si>
  <si>
    <t>This is an example</t>
  </si>
  <si>
    <t>Requrement specification</t>
  </si>
  <si>
    <t xml:space="preserve">Configuration item </t>
  </si>
  <si>
    <t>Abbreviations</t>
  </si>
  <si>
    <t>This document has been created to ensure allignment across requirements, design decisions and configuration items.</t>
  </si>
  <si>
    <t>References for requirements:</t>
  </si>
  <si>
    <t>Setting value (string / boolean)</t>
  </si>
  <si>
    <t>Setting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</si>
</sst>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32">
    <dxf>
      <fill>
        <patternFill>
          <bgColor theme="7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alignment horizontal="general"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1D35A-06F1-426D-B1C3-762EB0F629D5}" name="tblRS" displayName="tblRS" ref="A1:J2" totalsRowShown="0" headerRowDxfId="24" dataDxfId="23">
  <autoFilter ref="A1:J2" xr:uid="{D131D35A-06F1-426D-B1C3-762EB0F629D5}"/>
  <tableColumns count="10">
    <tableColumn id="1" xr3:uid="{AD255F0F-3D29-4E95-884A-C299BB4CD33C}" name="RS ID" dataDxfId="22"/>
    <tableColumn id="5" xr3:uid="{69443BEB-967E-4D1A-9252-63DDE7932293}" name="Platform" dataDxfId="21"/>
    <tableColumn id="2" xr3:uid="{9A7F64E6-7412-47CD-A633-8BB5757E659C}" name="Requirement specification" dataDxfId="20"/>
    <tableColumn id="3" xr3:uid="{36E57482-DF29-4CD1-85C3-ECE8B8E0816E}" name="Requirement description" dataDxfId="19"/>
    <tableColumn id="4" xr3:uid="{687D4C4A-6C9D-400B-A2AA-E15A220BD9D0}" name="Related DS" dataDxfId="18">
      <calculatedColumnFormula array="1">IF(
    tblRS[[#This Row],[RS ID]]="",
    "",
    IF(
        SUMPRODUCT(--ISNUMBER(SEARCH(
            ","&amp;SUBSTITUTE(tblRS[[#This Row],[RS ID]]," ","")&amp;",",
            ","&amp;SUBSTITUTE(tblDS[Related RS]," ","")&amp;","
        )))=0,
        "No DS Found",
        _xlfn.TEXTJOIN(", ",TRUE,
            IF(
                ISNUMBER(SEARCH(
                    ","&amp;SUBSTITUTE(tblRS[[#This Row],[RS ID]]," ","")&amp;",",
                    ","&amp;SUBSTITUTE(tblDS[Related RS]," ","")&amp;","
                )),
                tblDS[DS ID],
                ""
            )
        )
    )
)</calculatedColumnFormula>
    </tableColumn>
    <tableColumn id="11" xr3:uid="{CA78D137-4501-43B7-87D4-9B3DB6861230}" name="Related CI" dataDxfId="17">
      <calculatedColumnFormula array="1">IFERROR(
    _xlfn.TEXTJOIN(", ",TRUE,
        _xlfn.UNIQUE(
            _xlfn._xlws.FILTER(
                tblCI[CI ID],
                ISNUMBER(
                    _xlfn.XMATCH(
                        tblCI[Related DS],
                        _xlfn._xlws.FILTER(tblDS[DS ID],tblDS[Related RS]=tblRS[[#This Row],[RS ID]])
                    )
                )
            )
        )
    ),
    "No CI Found"
)</calculatedColumnFormula>
    </tableColumn>
    <tableColumn id="12" xr3:uid="{0EB14FBA-2D37-4009-97C0-4681D2330B74}" name="Source" dataDxfId="16"/>
    <tableColumn id="8" xr3:uid="{DDE7D061-672C-42AC-9900-36679D0D229B}" name="Link" dataDxfId="15"/>
    <tableColumn id="7" xr3:uid="{6B098DF1-81CA-4BD6-98EC-76F3A7F2E8D7}" name="Comments" dataDxfId="14"/>
    <tableColumn id="10" xr3:uid="{6EB1994E-EA3F-4747-81D5-896C3560D2F5}" name="Status" dataDxfId="1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F42BA1-619F-4AF2-888C-075FEFCEE886}" name="tblDS" displayName="tblDS" ref="A1:F2" totalsRowShown="0" headerRowDxfId="31" dataDxfId="30">
  <autoFilter ref="A1:F2" xr:uid="{81F42BA1-619F-4AF2-888C-075FEFCEE886}"/>
  <tableColumns count="6">
    <tableColumn id="1" xr3:uid="{FA22A381-5DC7-4479-9A40-5FE5C0E55560}" name="DS ID" dataDxfId="29"/>
    <tableColumn id="3" xr3:uid="{228C0486-512F-44D4-8744-B9B66579C99A}" name="Related RS" dataDxfId="3"/>
    <tableColumn id="7" xr3:uid="{85B162EB-F01B-4745-92F0-8F05B04ECD15}" name="Platform" dataDxfId="28"/>
    <tableColumn id="2" xr3:uid="{EBCF3D5E-85DB-4675-9367-5BBF6029FB89}" name="Design specification" dataDxfId="27"/>
    <tableColumn id="4" xr3:uid="{3337A423-E111-46E2-90EC-F589D75394E6}" name="Related CI" dataDxfId="26">
      <calculatedColumnFormula array="1">IF(
    tblDS[[#This Row],[DS ID]]="",
    "",
    IF(
        COUNTIF(tblCI[Related DS],tblDS[[#This Row],[DS ID]])=0,
        "No CI Found",
        _xlfn.TEXTJOIN(", ",TRUE,
            IF(
                tblCI[Related DS]=tblDS[[#This Row],[DS ID]],
                tblCI[CI ID],
                ""
            )
        )
    )
)</calculatedColumnFormula>
    </tableColumn>
    <tableColumn id="6" xr3:uid="{0B309E3C-EDED-4C55-819E-7441F80CC98A}" name="Status" dataDxfId="25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684943-44AA-4768-AFC5-16F79A60ACA4}" name="tblCI" displayName="tblCI" ref="A1:G6" totalsRowShown="0" headerRowDxfId="12" dataDxfId="11">
  <autoFilter ref="A1:G6" xr:uid="{25684943-44AA-4768-AFC5-16F79A60ACA4}"/>
  <tableColumns count="7">
    <tableColumn id="1" xr3:uid="{607964E7-2A6D-4BC2-A277-AAB0290DFA86}" name="CI ID" dataDxfId="10"/>
    <tableColumn id="2" xr3:uid="{CDFC0733-6F9B-4E65-B577-64D447990587}" name="Related DS" dataDxfId="9"/>
    <tableColumn id="3" xr3:uid="{7945BFE8-DC48-4920-B99F-6AD761520639}" name="Location" dataDxfId="8"/>
    <tableColumn id="4" xr3:uid="{0EFD5B71-3E8D-4DB0-BF9F-8CF9267DA238}" name="CI Navn" dataDxfId="7"/>
    <tableColumn id="5" xr3:uid="{3CB53CA7-49BA-4E24-9A46-94DB3551C26D}" name="Setting name" dataDxfId="6"/>
    <tableColumn id="6" xr3:uid="{B8B92CE7-EEDC-4F51-BDFA-C52F0D048802}" name="Setting value (string / boolean)" dataDxfId="5"/>
    <tableColumn id="7" xr3:uid="{63B779FF-FD3C-4915-BB4A-13D1B44701D5}" name="Commen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A062B-6883-425E-BDB6-3F02E972CE9F}">
  <dimension ref="A1:B10"/>
  <sheetViews>
    <sheetView workbookViewId="0"/>
  </sheetViews>
  <sheetFormatPr defaultRowHeight="14.5" x14ac:dyDescent="0.35"/>
  <sheetData>
    <row r="1" spans="1:2" ht="23.5" x14ac:dyDescent="0.55000000000000004">
      <c r="A1" s="1" t="s">
        <v>16</v>
      </c>
    </row>
    <row r="2" spans="1:2" x14ac:dyDescent="0.35">
      <c r="A2" s="3" t="s">
        <v>39</v>
      </c>
    </row>
    <row r="3" spans="1:2" x14ac:dyDescent="0.35">
      <c r="A3" s="3"/>
    </row>
    <row r="4" spans="1:2" ht="23.5" x14ac:dyDescent="0.55000000000000004">
      <c r="A4" s="1" t="s">
        <v>40</v>
      </c>
    </row>
    <row r="5" spans="1:2" x14ac:dyDescent="0.35">
      <c r="A5" s="4"/>
    </row>
    <row r="6" spans="1:2" x14ac:dyDescent="0.35">
      <c r="A6" s="3"/>
    </row>
    <row r="7" spans="1:2" ht="23.5" x14ac:dyDescent="0.55000000000000004">
      <c r="A7" s="1" t="s">
        <v>38</v>
      </c>
    </row>
    <row r="8" spans="1:2" x14ac:dyDescent="0.35">
      <c r="A8" s="2" t="s">
        <v>13</v>
      </c>
      <c r="B8" t="s">
        <v>36</v>
      </c>
    </row>
    <row r="9" spans="1:2" x14ac:dyDescent="0.35">
      <c r="A9" t="s">
        <v>8</v>
      </c>
      <c r="B9" t="s">
        <v>10</v>
      </c>
    </row>
    <row r="10" spans="1:2" x14ac:dyDescent="0.35">
      <c r="A10" t="s">
        <v>12</v>
      </c>
      <c r="B1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15113-3B10-40CD-AA32-01152B8B863F}">
  <dimension ref="A1:K12"/>
  <sheetViews>
    <sheetView zoomScale="90" zoomScaleNormal="90" workbookViewId="0">
      <selection activeCell="E7" sqref="E7"/>
    </sheetView>
  </sheetViews>
  <sheetFormatPr defaultRowHeight="14.5" x14ac:dyDescent="0.35"/>
  <cols>
    <col min="1" max="1" width="12.08984375" style="5" bestFit="1" customWidth="1"/>
    <col min="2" max="2" width="19.08984375" style="5" bestFit="1" customWidth="1"/>
    <col min="3" max="3" width="52.6328125" style="5" customWidth="1"/>
    <col min="4" max="4" width="46.36328125" style="5" customWidth="1"/>
    <col min="5" max="5" width="24.36328125" style="5" customWidth="1"/>
    <col min="6" max="6" width="34.90625" style="6" customWidth="1"/>
    <col min="7" max="7" width="9.36328125" bestFit="1" customWidth="1"/>
    <col min="8" max="8" width="12.81640625" style="5" bestFit="1" customWidth="1"/>
    <col min="9" max="9" width="12.81640625" style="5" customWidth="1"/>
    <col min="10" max="10" width="12.26953125" style="5" bestFit="1" customWidth="1"/>
    <col min="11" max="11" width="8.453125" style="5" bestFit="1" customWidth="1"/>
  </cols>
  <sheetData>
    <row r="1" spans="1:11" x14ac:dyDescent="0.35">
      <c r="A1" s="5" t="s">
        <v>0</v>
      </c>
      <c r="B1" s="5" t="s">
        <v>3</v>
      </c>
      <c r="C1" s="5" t="s">
        <v>11</v>
      </c>
      <c r="D1" s="5" t="s">
        <v>1</v>
      </c>
      <c r="E1" s="5" t="s">
        <v>2</v>
      </c>
      <c r="F1" s="6" t="s">
        <v>20</v>
      </c>
      <c r="G1" s="5" t="s">
        <v>7</v>
      </c>
      <c r="H1" s="5" t="s">
        <v>5</v>
      </c>
      <c r="I1" s="5" t="s">
        <v>4</v>
      </c>
      <c r="J1" s="5" t="s">
        <v>6</v>
      </c>
      <c r="K1"/>
    </row>
    <row r="2" spans="1:11" ht="43.5" x14ac:dyDescent="0.35">
      <c r="A2" s="5" t="s">
        <v>23</v>
      </c>
      <c r="C2" s="6" t="s">
        <v>35</v>
      </c>
      <c r="E2" s="5" t="str" cm="1">
        <f t="array" ref="E2">IF(
    tblRS[[#This Row],[RS ID]]="",
    "",
    IF(
        SUMPRODUCT(--ISNUMBER(SEARCH(
            ","&amp;SUBSTITUTE(tblRS[[#This Row],[RS ID]]," ","")&amp;",",
            ","&amp;SUBSTITUTE(tblDS[Related RS]," ","")&amp;","
        )))=0,
        "No DS Found",
        _xlfn.TEXTJOIN(", ",TRUE,
            IF(
                ISNUMBER(SEARCH(
                    ","&amp;SUBSTITUTE(tblRS[[#This Row],[RS ID]]," ","")&amp;",",
                    ","&amp;SUBSTITUTE(tblDS[Related RS]," ","")&amp;","
                )),
                tblDS[DS ID],
                ""
            )
        )
    )
)</f>
        <v>ds-example-01</v>
      </c>
      <c r="F2" s="6" t="str" cm="1">
        <f t="array" ref="F2">IFERROR(
    _xlfn.TEXTJOIN(", ",TRUE,
        _xlfn.UNIQUE(
            _xlfn._xlws.FILTER(
                tblCI[CI ID],
                ISNUMBER(
                    _xlfn.XMATCH(
                        tblCI[Related DS],
                        _xlfn._xlws.FILTER(tblDS[DS ID],tblDS[Related RS]=tblRS[[#This Row],[RS ID]])
                    )
                )
            )
        )
    ),
    "No CI Found"
)</f>
        <v>ci-example-01, ci-example-02, ci-example-03, ci-example-04, ci-example-05</v>
      </c>
      <c r="G2" s="5"/>
      <c r="K2"/>
    </row>
    <row r="3" spans="1:11" x14ac:dyDescent="0.35">
      <c r="C3" s="6"/>
    </row>
    <row r="4" spans="1:11" x14ac:dyDescent="0.35">
      <c r="C4" s="6"/>
    </row>
    <row r="5" spans="1:11" x14ac:dyDescent="0.35">
      <c r="C5" s="6"/>
    </row>
    <row r="6" spans="1:11" x14ac:dyDescent="0.35">
      <c r="C6" s="6"/>
    </row>
    <row r="7" spans="1:11" x14ac:dyDescent="0.35">
      <c r="C7" s="6"/>
    </row>
    <row r="8" spans="1:11" x14ac:dyDescent="0.35">
      <c r="C8" s="6"/>
    </row>
    <row r="9" spans="1:11" x14ac:dyDescent="0.35">
      <c r="C9" s="6"/>
    </row>
    <row r="10" spans="1:11" x14ac:dyDescent="0.35">
      <c r="C10" s="6"/>
    </row>
    <row r="11" spans="1:11" x14ac:dyDescent="0.35">
      <c r="C11" s="6"/>
    </row>
    <row r="12" spans="1:11" x14ac:dyDescent="0.35">
      <c r="C12" s="6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924E-038E-41E6-8B2E-FF9C552DE77E}">
  <dimension ref="A1:G2"/>
  <sheetViews>
    <sheetView tabSelected="1" workbookViewId="0">
      <selection activeCell="F10" sqref="F10"/>
    </sheetView>
  </sheetViews>
  <sheetFormatPr defaultRowHeight="14.5" x14ac:dyDescent="0.35"/>
  <cols>
    <col min="1" max="1" width="22.81640625" style="5" customWidth="1"/>
    <col min="2" max="2" width="25.26953125" style="5" bestFit="1" customWidth="1"/>
    <col min="3" max="3" width="22.81640625" style="5" customWidth="1"/>
    <col min="4" max="4" width="47.6328125" style="5" bestFit="1" customWidth="1"/>
    <col min="5" max="5" width="37.90625" customWidth="1"/>
    <col min="6" max="6" width="35.6328125" style="6" customWidth="1"/>
    <col min="7" max="7" width="10.7265625" style="5" bestFit="1" customWidth="1"/>
  </cols>
  <sheetData>
    <row r="1" spans="1:7" x14ac:dyDescent="0.35">
      <c r="A1" s="5" t="s">
        <v>9</v>
      </c>
      <c r="B1" s="5" t="s">
        <v>19</v>
      </c>
      <c r="C1" s="5" t="s">
        <v>3</v>
      </c>
      <c r="D1" s="5" t="s">
        <v>10</v>
      </c>
      <c r="E1" s="6" t="s">
        <v>20</v>
      </c>
      <c r="F1" s="7" t="s">
        <v>6</v>
      </c>
      <c r="G1"/>
    </row>
    <row r="2" spans="1:7" ht="29" x14ac:dyDescent="0.35">
      <c r="A2" s="5" t="s">
        <v>21</v>
      </c>
      <c r="B2" s="5" t="s">
        <v>23</v>
      </c>
      <c r="D2" s="5" t="s">
        <v>22</v>
      </c>
      <c r="E2" s="6" t="str" cm="1">
        <f t="array" ref="E2">IF(
    tblDS[[#This Row],[DS ID]]="",
    "",
    IF(
        COUNTIF(tblCI[Related DS],tblDS[[#This Row],[DS ID]])=0,
        "No CI Found",
        _xlfn.TEXTJOIN(", ",TRUE,
            IF(
                tblCI[Related DS]=tblDS[[#This Row],[DS ID]],
                tblCI[CI ID],
                ""
            )
        )
    )
)</f>
        <v>ci-example-01, ci-example-02, ci-example-03, ci-example-04, ci-example-05</v>
      </c>
      <c r="F2" s="5"/>
      <c r="G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4C47F-47CC-4554-886A-24E03A7E68F2}">
  <dimension ref="A1:G6"/>
  <sheetViews>
    <sheetView workbookViewId="0">
      <selection activeCell="B11" sqref="B11"/>
    </sheetView>
  </sheetViews>
  <sheetFormatPr defaultRowHeight="14.5" x14ac:dyDescent="0.35"/>
  <cols>
    <col min="1" max="1" width="12.36328125" style="5" bestFit="1" customWidth="1"/>
    <col min="2" max="2" width="12.90625" style="5" bestFit="1" customWidth="1"/>
    <col min="3" max="3" width="14" style="5" bestFit="1" customWidth="1"/>
    <col min="4" max="4" width="9.54296875" style="5" bestFit="1" customWidth="1"/>
    <col min="5" max="5" width="17" style="5" bestFit="1" customWidth="1"/>
    <col min="6" max="6" width="32.54296875" style="5" bestFit="1" customWidth="1"/>
    <col min="7" max="7" width="34.7265625" style="5" bestFit="1" customWidth="1"/>
    <col min="8" max="8" width="34.7265625" bestFit="1" customWidth="1"/>
    <col min="9" max="9" width="12.81640625" bestFit="1" customWidth="1"/>
    <col min="10" max="10" width="32.54296875" bestFit="1" customWidth="1"/>
    <col min="11" max="11" width="12.81640625" bestFit="1" customWidth="1"/>
  </cols>
  <sheetData>
    <row r="1" spans="1:7" x14ac:dyDescent="0.35">
      <c r="A1" s="5" t="s">
        <v>14</v>
      </c>
      <c r="B1" s="5" t="s">
        <v>2</v>
      </c>
      <c r="C1" s="5" t="s">
        <v>17</v>
      </c>
      <c r="D1" s="5" t="s">
        <v>15</v>
      </c>
      <c r="E1" s="5" t="s">
        <v>42</v>
      </c>
      <c r="F1" s="8" t="s">
        <v>41</v>
      </c>
      <c r="G1" s="5" t="s">
        <v>34</v>
      </c>
    </row>
    <row r="2" spans="1:7" x14ac:dyDescent="0.35">
      <c r="A2" s="5" t="s">
        <v>24</v>
      </c>
      <c r="B2" s="5" t="s">
        <v>21</v>
      </c>
      <c r="C2" s="5" t="s">
        <v>29</v>
      </c>
      <c r="D2" s="5" t="s">
        <v>18</v>
      </c>
      <c r="E2" s="5" t="s">
        <v>18</v>
      </c>
      <c r="F2" s="5" t="s">
        <v>18</v>
      </c>
    </row>
    <row r="3" spans="1:7" x14ac:dyDescent="0.35">
      <c r="A3" s="5" t="s">
        <v>25</v>
      </c>
      <c r="B3" s="5" t="s">
        <v>21</v>
      </c>
      <c r="C3" s="5" t="s">
        <v>30</v>
      </c>
    </row>
    <row r="4" spans="1:7" x14ac:dyDescent="0.35">
      <c r="A4" s="5" t="s">
        <v>26</v>
      </c>
      <c r="B4" s="5" t="s">
        <v>21</v>
      </c>
      <c r="C4" s="5" t="s">
        <v>31</v>
      </c>
    </row>
    <row r="5" spans="1:7" x14ac:dyDescent="0.35">
      <c r="A5" s="5" t="s">
        <v>27</v>
      </c>
      <c r="B5" s="5" t="s">
        <v>21</v>
      </c>
      <c r="C5" s="5" t="s">
        <v>32</v>
      </c>
    </row>
    <row r="6" spans="1:7" x14ac:dyDescent="0.35">
      <c r="A6" s="5" t="s">
        <v>28</v>
      </c>
      <c r="B6" s="5" t="s">
        <v>21</v>
      </c>
      <c r="C6" s="5" t="s">
        <v>33</v>
      </c>
    </row>
  </sheetData>
  <phoneticPr fontId="3" type="noConversion"/>
  <conditionalFormatting sqref="A1:G1">
    <cfRule type="expression" dxfId="2" priority="1">
      <formula>#REF!="DS retired"</formula>
    </cfRule>
    <cfRule type="expression" dxfId="1" priority="2">
      <formula>#REF!="CI retired"</formula>
    </cfRule>
  </conditionalFormatting>
  <conditionalFormatting sqref="B1">
    <cfRule type="expression" dxfId="0" priority="3">
      <formula>#REF!="Error in related DS"</formula>
    </cfRule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967c487-088f-4c69-bfe8-68f07973c154}" enabled="0" method="" siteId="{f967c487-088f-4c69-bfe8-68f07973c15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RS</vt:lpstr>
      <vt:lpstr>DS</vt:lpstr>
      <vt:lpstr>CI</vt:lpstr>
    </vt:vector>
  </TitlesOfParts>
  <Company>Mindcore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Pauly Kofoed Mose (FM-SIT)</dc:creator>
  <cp:lastModifiedBy>Simon Pauly Kofoed Mose</cp:lastModifiedBy>
  <dcterms:created xsi:type="dcterms:W3CDTF">2026-09-03T07:23:24Z</dcterms:created>
  <dcterms:modified xsi:type="dcterms:W3CDTF">2026-10-02T10:47:20Z</dcterms:modified>
</cp:coreProperties>
</file>